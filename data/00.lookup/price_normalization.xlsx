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iuse\Downloads\"/>
    </mc:Choice>
  </mc:AlternateContent>
  <xr:revisionPtr revIDLastSave="0" documentId="13_ncr:1_{E67E8A31-2E97-43E9-A89E-A9DEDF22F65B}" xr6:coauthVersionLast="47" xr6:coauthVersionMax="47" xr10:uidLastSave="{00000000-0000-0000-0000-000000000000}"/>
  <bookViews>
    <workbookView xWindow="-110" yWindow="-110" windowWidth="21820" windowHeight="13900" tabRatio="500" xr2:uid="{00000000-000D-0000-FFFF-FFFF00000000}"/>
  </bookViews>
  <sheets>
    <sheet name="Foglio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</calcChain>
</file>

<file path=xl/sharedStrings.xml><?xml version="1.0" encoding="utf-8"?>
<sst xmlns="http://schemas.openxmlformats.org/spreadsheetml/2006/main" count="127" uniqueCount="101">
  <si>
    <t>processor</t>
  </si>
  <si>
    <t>perf_index</t>
  </si>
  <si>
    <t>SMT_factor</t>
  </si>
  <si>
    <t>normalizer</t>
  </si>
  <si>
    <t>tipo</t>
  </si>
  <si>
    <t>DKbench ST (min-max)</t>
  </si>
  <si>
    <t>istanza test</t>
  </si>
  <si>
    <t>nota</t>
  </si>
  <si>
    <t>AMD EPYC 7R13</t>
  </si>
  <si>
    <t>misurato</t>
  </si>
  <si>
    <t>1014-1030</t>
  </si>
  <si>
    <t>C6a.large</t>
  </si>
  <si>
    <t>Milan</t>
  </si>
  <si>
    <t>AMD EPYC 9R14</t>
  </si>
  <si>
    <t>1122-1233</t>
  </si>
  <si>
    <t>C7a.large</t>
  </si>
  <si>
    <t>Genoa, SMT disabilitato su AWS</t>
  </si>
  <si>
    <t>AMD EPYC 9R45</t>
  </si>
  <si>
    <t>1721-1767</t>
  </si>
  <si>
    <t>C8a.large</t>
  </si>
  <si>
    <t>Turin, SMT disabilitato su AWS</t>
  </si>
  <si>
    <t>AWS Graviton2</t>
  </si>
  <si>
    <t>base</t>
  </si>
  <si>
    <t>620-622</t>
  </si>
  <si>
    <t>C6g.large</t>
  </si>
  <si>
    <t>Baseline</t>
  </si>
  <si>
    <t>AWS Graviton3</t>
  </si>
  <si>
    <t>888-895</t>
  </si>
  <si>
    <t>C7g.large</t>
  </si>
  <si>
    <t>AWS Graviton4</t>
  </si>
  <si>
    <t>1128-1138</t>
  </si>
  <si>
    <t>C8g.large</t>
  </si>
  <si>
    <t>AWS Graviton5</t>
  </si>
  <si>
    <t>derivato</t>
  </si>
  <si>
    <t>n.d.</t>
  </si>
  <si>
    <t>M9g (Phoronix)</t>
  </si>
  <si>
    <t>Assente dalla fonte (era in beta). +27,5% su G4: Phoronix +30%, AWS +25%</t>
  </si>
  <si>
    <t>Intel Xeon 6 6975P-C</t>
  </si>
  <si>
    <t>1392-1433</t>
  </si>
  <si>
    <t>C8i.large</t>
  </si>
  <si>
    <t>Granite Rapids</t>
  </si>
  <si>
    <t>Intel Xeon 6 6985P-C</t>
  </si>
  <si>
    <t>Granite Rapids, come 6975P-C</t>
  </si>
  <si>
    <t>Intel Xeon 6 6987P-C</t>
  </si>
  <si>
    <t>Intel Xeon Platinum 8375C</t>
  </si>
  <si>
    <t>991-1008</t>
  </si>
  <si>
    <t>C6i.large</t>
  </si>
  <si>
    <t>Ice Lake</t>
  </si>
  <si>
    <t>Intel Xeon Platinum 8358</t>
  </si>
  <si>
    <t>Ice Lake, proxy da 8375C</t>
  </si>
  <si>
    <t>Intel Xeon Platinum 8488C</t>
  </si>
  <si>
    <t>1081-1303</t>
  </si>
  <si>
    <t>C7i.large</t>
  </si>
  <si>
    <t>Sapphire Rapids. RANGE AMPIO: +/-9% tra regioni</t>
  </si>
  <si>
    <t>AMD EPYC 7J13</t>
  </si>
  <si>
    <t>864-1030</t>
  </si>
  <si>
    <t>GCP n2d/c2d/t2d</t>
  </si>
  <si>
    <t>Milan SMT: media shape GCP. NON verificato su OCI</t>
  </si>
  <si>
    <t>AMD EPYC 9J14</t>
  </si>
  <si>
    <t>1104-1138</t>
  </si>
  <si>
    <t>GCP c3d-4/2</t>
  </si>
  <si>
    <t>Genoa SMT: proxy GCP. OCI E5 non testata dalla fonte</t>
  </si>
  <si>
    <t>AMD EPYC 9J45</t>
  </si>
  <si>
    <t>1577-1599</t>
  </si>
  <si>
    <t>Standard.E6</t>
  </si>
  <si>
    <t>Turin SMT, OCI E6</t>
  </si>
  <si>
    <t>Ampere Altra Q80-30</t>
  </si>
  <si>
    <t>718-732</t>
  </si>
  <si>
    <t>Standard.A1</t>
  </si>
  <si>
    <t>OCI A1</t>
  </si>
  <si>
    <t>Ampere AmpereOne A160-30</t>
  </si>
  <si>
    <t>705-707</t>
  </si>
  <si>
    <t>Standard.A2</t>
  </si>
  <si>
    <t>OCI A2</t>
  </si>
  <si>
    <t>Ampere AmpereOne M 192-36M</t>
  </si>
  <si>
    <t>876-878</t>
  </si>
  <si>
    <t>Standard.A4</t>
  </si>
  <si>
    <t>OCI A4</t>
  </si>
  <si>
    <t>Ampere AmpereOne M A06-36M</t>
  </si>
  <si>
    <t>OCI A4, proxy da 192-36M</t>
  </si>
  <si>
    <t>FORMULE</t>
  </si>
  <si>
    <t>prezzo_normalizzato = prezzo_istanza / normalizer</t>
  </si>
  <si>
    <t>Punteggio DKbench 3.0 single-thread, punto medio del range min-max, riscalato con Graviton2 = 100.</t>
  </si>
  <si>
    <t>E' una misura PER CORE FISICO: su un core SMT un thread solitario dispone dell'intero core.</t>
  </si>
  <si>
    <t>SMT_FACTOR  --  ora interamente misurato</t>
  </si>
  <si>
    <t>E' la "scalability %" della fonte: quota di prestazione che 2 thread mantengono su 2 vCPU.</t>
  </si>
  <si>
    <t>Il vecchio valore forfettario 0,625 sovrastimava tutte le SKU Intel e sottostimava le AMD.</t>
  </si>
  <si>
    <t>Range misurato Graviton2 -&gt; Turin AWS = 2,81x per core, contro il 2,15x della stima precedente.</t>
  </si>
  <si>
    <t>Correzioni piu' rilevanti: Turin AWS era sottostimato del 30%, Ice Lake del 32%, Xeon 6 del 28%.</t>
  </si>
  <si>
    <t>AMBITO DI VALIDITA'</t>
  </si>
  <si>
    <t>CPU generica. Escono dal modello i carichi AVX-512-intensivi e quelli memory-bandwidth-bound.</t>
  </si>
  <si>
    <t>Valore puntuale medio. Il range e' in colonna F: su 8488C e' +/-9%, li' il punto singolo e' fragile.</t>
  </si>
  <si>
    <t>REVISIONE DEL 03/08/2026</t>
  </si>
  <si>
    <t>La tabella precedente comprimeva lo spread reale tra CPU lente e veloci.</t>
  </si>
  <si>
    <t>Benchmark: gennaio-febbraio 2026.</t>
  </si>
  <si>
    <t>Confrontare istanze con rapporto RAM/vCPU simile.</t>
  </si>
  <si>
    <t xml:space="preserve">normalizer = perf_index * SMT_factor / 100 </t>
  </si>
  <si>
    <t>Fonte: D. Kechagias, "Cloud VM benchmarks 2026", dev.to 27/02/2026</t>
  </si>
  <si>
    <t>PERF_INDEX</t>
  </si>
  <si>
    <t>Identita' verificata sui dati: multi-thread = single-thread * 2 * SMT, su tutte le righe.</t>
  </si>
  <si>
    <t>Prima, due valori: 0,625 e 1; ora, va da 0,517 (Ice Lake) a 0,996 (Genoa AWS senza SMT).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</si>
</sst>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1F3864"/>
      <name val="Arial"/>
      <charset val="1"/>
    </font>
    <font>
      <sz val="9"/>
      <color rgb="FF555555"/>
      <name val="Arial"/>
      <charset val="1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555555"/>
      <name val="Arial"/>
      <family val="2"/>
    </font>
    <font>
      <b/>
      <sz val="9"/>
      <color rgb="FF1F386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0" xfId="0" applyFont="1"/>
    <xf numFmtId="0" fontId="3" fillId="0" borderId="0" xfId="0" applyFont="1"/>
    <xf numFmtId="0" fontId="4" fillId="0" borderId="1" xfId="0" applyFont="1" applyFill="1" applyBorder="1"/>
    <xf numFmtId="0" fontId="5" fillId="0" borderId="1" xfId="0" applyFont="1" applyFill="1" applyBorder="1"/>
    <xf numFmtId="0" fontId="6" fillId="0" borderId="0" xfId="0" applyFont="1"/>
    <xf numFmtId="0" fontId="7" fillId="0" borderId="0" xfId="0" applyFont="1"/>
    <xf numFmtId="165" fontId="4" fillId="0" borderId="1" xfId="0" applyNumberFormat="1" applyFont="1" applyFill="1" applyBorder="1" applyAlignment="1">
      <alignment horizontal="right"/>
    </xf>
    <xf numFmtId="164" fontId="4" fillId="0" borderId="1" xfId="0" applyNumberFormat="1" applyFont="1" applyFill="1" applyBorder="1" applyAlignment="1">
      <alignment horizontal="right"/>
    </xf>
    <xf numFmtId="166" fontId="4" fillId="0" borderId="1" xfId="0" applyNumberFormat="1" applyFont="1" applyFill="1" applyBorder="1" applyAlignment="1">
      <alignment horizontal="right"/>
    </xf>
    <xf numFmtId="0" fontId="4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horizontal="left" wrapText="1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zoomScaleNormal="100" workbookViewId="0"/>
  </sheetViews>
  <sheetFormatPr defaultColWidth="8.6328125" defaultRowHeight="14.5" x14ac:dyDescent="0.35"/>
  <cols>
    <col min="1" max="1" width="28" customWidth="1"/>
    <col min="2" max="5" width="11" customWidth="1"/>
    <col min="6" max="6" width="11.81640625" customWidth="1"/>
    <col min="7" max="7" width="16" customWidth="1"/>
    <col min="8" max="8" width="57.08984375" customWidth="1"/>
    <col min="10" max="10" width="26" customWidth="1"/>
    <col min="11" max="11" width="8" customWidth="1"/>
  </cols>
  <sheetData>
    <row r="1" spans="1:8" ht="26.5" x14ac:dyDescent="0.35">
      <c r="A1" s="14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4" t="s">
        <v>8</v>
      </c>
      <c r="B2" s="8">
        <v>164.6</v>
      </c>
      <c r="C2" s="9">
        <v>0.59299999999999997</v>
      </c>
      <c r="D2" s="10">
        <f>B2*C2/100</f>
        <v>0.976078</v>
      </c>
      <c r="E2" s="11" t="s">
        <v>9</v>
      </c>
      <c r="F2" s="12" t="s">
        <v>10</v>
      </c>
      <c r="G2" s="12" t="s">
        <v>11</v>
      </c>
      <c r="H2" s="5" t="s">
        <v>12</v>
      </c>
    </row>
    <row r="3" spans="1:8" x14ac:dyDescent="0.35">
      <c r="A3" s="4" t="s">
        <v>13</v>
      </c>
      <c r="B3" s="8">
        <v>189.6</v>
      </c>
      <c r="C3" s="9">
        <v>0.996</v>
      </c>
      <c r="D3" s="10">
        <f t="shared" ref="D3:D21" si="0">B3*C3/100</f>
        <v>1.8884160000000001</v>
      </c>
      <c r="E3" s="11" t="s">
        <v>9</v>
      </c>
      <c r="F3" s="12" t="s">
        <v>14</v>
      </c>
      <c r="G3" s="12" t="s">
        <v>15</v>
      </c>
      <c r="H3" s="5" t="s">
        <v>16</v>
      </c>
    </row>
    <row r="4" spans="1:8" x14ac:dyDescent="0.35">
      <c r="A4" s="4" t="s">
        <v>17</v>
      </c>
      <c r="B4" s="8">
        <v>280.8</v>
      </c>
      <c r="C4" s="9">
        <v>0.98699999999999999</v>
      </c>
      <c r="D4" s="10">
        <f t="shared" si="0"/>
        <v>2.7714960000000004</v>
      </c>
      <c r="E4" s="11" t="s">
        <v>9</v>
      </c>
      <c r="F4" s="12" t="s">
        <v>18</v>
      </c>
      <c r="G4" s="12" t="s">
        <v>19</v>
      </c>
      <c r="H4" s="5" t="s">
        <v>20</v>
      </c>
    </row>
    <row r="5" spans="1:8" x14ac:dyDescent="0.35">
      <c r="A5" s="4" t="s">
        <v>21</v>
      </c>
      <c r="B5" s="8">
        <v>100</v>
      </c>
      <c r="C5" s="9">
        <v>0.995</v>
      </c>
      <c r="D5" s="10">
        <f t="shared" si="0"/>
        <v>0.995</v>
      </c>
      <c r="E5" s="11" t="s">
        <v>22</v>
      </c>
      <c r="F5" s="12" t="s">
        <v>23</v>
      </c>
      <c r="G5" s="12" t="s">
        <v>24</v>
      </c>
      <c r="H5" s="5" t="s">
        <v>25</v>
      </c>
    </row>
    <row r="6" spans="1:8" x14ac:dyDescent="0.35">
      <c r="A6" s="4" t="s">
        <v>26</v>
      </c>
      <c r="B6" s="8">
        <v>143.6</v>
      </c>
      <c r="C6" s="9">
        <v>0.99399999999999999</v>
      </c>
      <c r="D6" s="10">
        <f t="shared" si="0"/>
        <v>1.4273839999999998</v>
      </c>
      <c r="E6" s="11" t="s">
        <v>9</v>
      </c>
      <c r="F6" s="12" t="s">
        <v>27</v>
      </c>
      <c r="G6" s="12" t="s">
        <v>28</v>
      </c>
      <c r="H6" s="5"/>
    </row>
    <row r="7" spans="1:8" x14ac:dyDescent="0.35">
      <c r="A7" s="4" t="s">
        <v>29</v>
      </c>
      <c r="B7" s="8">
        <v>182.4</v>
      </c>
      <c r="C7" s="9">
        <v>0.99299999999999999</v>
      </c>
      <c r="D7" s="10">
        <f t="shared" si="0"/>
        <v>1.811232</v>
      </c>
      <c r="E7" s="11" t="s">
        <v>9</v>
      </c>
      <c r="F7" s="12" t="s">
        <v>30</v>
      </c>
      <c r="G7" s="12" t="s">
        <v>31</v>
      </c>
      <c r="H7" s="5"/>
    </row>
    <row r="8" spans="1:8" x14ac:dyDescent="0.35">
      <c r="A8" s="4" t="s">
        <v>32</v>
      </c>
      <c r="B8" s="8">
        <v>232.6</v>
      </c>
      <c r="C8" s="9">
        <v>0.99</v>
      </c>
      <c r="D8" s="10">
        <f t="shared" si="0"/>
        <v>2.30274</v>
      </c>
      <c r="E8" s="11" t="s">
        <v>33</v>
      </c>
      <c r="F8" s="12" t="s">
        <v>34</v>
      </c>
      <c r="G8" s="12" t="s">
        <v>35</v>
      </c>
      <c r="H8" s="5" t="s">
        <v>36</v>
      </c>
    </row>
    <row r="9" spans="1:8" x14ac:dyDescent="0.35">
      <c r="A9" s="4" t="s">
        <v>37</v>
      </c>
      <c r="B9" s="8">
        <v>227.5</v>
      </c>
      <c r="C9" s="9">
        <v>0.59599999999999997</v>
      </c>
      <c r="D9" s="10">
        <f t="shared" si="0"/>
        <v>1.3559000000000001</v>
      </c>
      <c r="E9" s="11" t="s">
        <v>9</v>
      </c>
      <c r="F9" s="12" t="s">
        <v>38</v>
      </c>
      <c r="G9" s="12" t="s">
        <v>39</v>
      </c>
      <c r="H9" s="5" t="s">
        <v>40</v>
      </c>
    </row>
    <row r="10" spans="1:8" x14ac:dyDescent="0.35">
      <c r="A10" s="4" t="s">
        <v>41</v>
      </c>
      <c r="B10" s="8">
        <v>227.5</v>
      </c>
      <c r="C10" s="9">
        <v>0.59599999999999997</v>
      </c>
      <c r="D10" s="10">
        <f t="shared" si="0"/>
        <v>1.3559000000000001</v>
      </c>
      <c r="E10" s="11" t="s">
        <v>9</v>
      </c>
      <c r="F10" s="12" t="s">
        <v>38</v>
      </c>
      <c r="G10" s="12" t="s">
        <v>39</v>
      </c>
      <c r="H10" s="5" t="s">
        <v>42</v>
      </c>
    </row>
    <row r="11" spans="1:8" x14ac:dyDescent="0.35">
      <c r="A11" s="4" t="s">
        <v>43</v>
      </c>
      <c r="B11" s="8">
        <v>227.5</v>
      </c>
      <c r="C11" s="9">
        <v>0.59599999999999997</v>
      </c>
      <c r="D11" s="10">
        <f t="shared" si="0"/>
        <v>1.3559000000000001</v>
      </c>
      <c r="E11" s="11" t="s">
        <v>9</v>
      </c>
      <c r="F11" s="12" t="s">
        <v>38</v>
      </c>
      <c r="G11" s="12" t="s">
        <v>39</v>
      </c>
      <c r="H11" s="5" t="s">
        <v>42</v>
      </c>
    </row>
    <row r="12" spans="1:8" x14ac:dyDescent="0.35">
      <c r="A12" s="4" t="s">
        <v>44</v>
      </c>
      <c r="B12" s="8">
        <v>161</v>
      </c>
      <c r="C12" s="9">
        <v>0.51700000000000002</v>
      </c>
      <c r="D12" s="10">
        <f t="shared" si="0"/>
        <v>0.83237000000000005</v>
      </c>
      <c r="E12" s="11" t="s">
        <v>9</v>
      </c>
      <c r="F12" s="12" t="s">
        <v>45</v>
      </c>
      <c r="G12" s="12" t="s">
        <v>46</v>
      </c>
      <c r="H12" s="5" t="s">
        <v>47</v>
      </c>
    </row>
    <row r="13" spans="1:8" x14ac:dyDescent="0.35">
      <c r="A13" s="4" t="s">
        <v>48</v>
      </c>
      <c r="B13" s="8">
        <v>161</v>
      </c>
      <c r="C13" s="9">
        <v>0.51700000000000002</v>
      </c>
      <c r="D13" s="10">
        <f t="shared" si="0"/>
        <v>0.83237000000000005</v>
      </c>
      <c r="E13" s="11" t="s">
        <v>33</v>
      </c>
      <c r="F13" s="12" t="s">
        <v>45</v>
      </c>
      <c r="G13" s="12" t="s">
        <v>46</v>
      </c>
      <c r="H13" s="5" t="s">
        <v>49</v>
      </c>
    </row>
    <row r="14" spans="1:8" x14ac:dyDescent="0.35">
      <c r="A14" s="4" t="s">
        <v>50</v>
      </c>
      <c r="B14" s="8">
        <v>191.9</v>
      </c>
      <c r="C14" s="9">
        <v>0.58199999999999996</v>
      </c>
      <c r="D14" s="10">
        <f t="shared" si="0"/>
        <v>1.1168579999999999</v>
      </c>
      <c r="E14" s="11" t="s">
        <v>9</v>
      </c>
      <c r="F14" s="12" t="s">
        <v>51</v>
      </c>
      <c r="G14" s="12" t="s">
        <v>52</v>
      </c>
      <c r="H14" s="5" t="s">
        <v>53</v>
      </c>
    </row>
    <row r="15" spans="1:8" x14ac:dyDescent="0.35">
      <c r="A15" s="4" t="s">
        <v>54</v>
      </c>
      <c r="B15" s="8">
        <v>151.4</v>
      </c>
      <c r="C15" s="9">
        <v>0.58799999999999997</v>
      </c>
      <c r="D15" s="10">
        <f t="shared" si="0"/>
        <v>0.89023200000000002</v>
      </c>
      <c r="E15" s="11" t="s">
        <v>33</v>
      </c>
      <c r="F15" s="12" t="s">
        <v>55</v>
      </c>
      <c r="G15" s="12" t="s">
        <v>56</v>
      </c>
      <c r="H15" s="5" t="s">
        <v>57</v>
      </c>
    </row>
    <row r="16" spans="1:8" x14ac:dyDescent="0.35">
      <c r="A16" s="4" t="s">
        <v>58</v>
      </c>
      <c r="B16" s="8">
        <v>180.5</v>
      </c>
      <c r="C16" s="9">
        <v>0.60799999999999998</v>
      </c>
      <c r="D16" s="10">
        <f t="shared" si="0"/>
        <v>1.09744</v>
      </c>
      <c r="E16" s="11" t="s">
        <v>33</v>
      </c>
      <c r="F16" s="12" t="s">
        <v>59</v>
      </c>
      <c r="G16" s="12" t="s">
        <v>60</v>
      </c>
      <c r="H16" s="5" t="s">
        <v>61</v>
      </c>
    </row>
    <row r="17" spans="1:8" x14ac:dyDescent="0.35">
      <c r="A17" s="4" t="s">
        <v>62</v>
      </c>
      <c r="B17" s="8">
        <v>255.7</v>
      </c>
      <c r="C17" s="9">
        <v>0.60699999999999998</v>
      </c>
      <c r="D17" s="10">
        <f t="shared" si="0"/>
        <v>1.5520989999999997</v>
      </c>
      <c r="E17" s="11" t="s">
        <v>9</v>
      </c>
      <c r="F17" s="12" t="s">
        <v>63</v>
      </c>
      <c r="G17" s="12" t="s">
        <v>64</v>
      </c>
      <c r="H17" s="5" t="s">
        <v>65</v>
      </c>
    </row>
    <row r="18" spans="1:8" x14ac:dyDescent="0.35">
      <c r="A18" s="4" t="s">
        <v>66</v>
      </c>
      <c r="B18" s="8">
        <v>116.7</v>
      </c>
      <c r="C18" s="9">
        <v>0.98499999999999999</v>
      </c>
      <c r="D18" s="10">
        <f t="shared" si="0"/>
        <v>1.1494949999999999</v>
      </c>
      <c r="E18" s="11" t="s">
        <v>9</v>
      </c>
      <c r="F18" s="12" t="s">
        <v>67</v>
      </c>
      <c r="G18" s="12" t="s">
        <v>68</v>
      </c>
      <c r="H18" s="5" t="s">
        <v>69</v>
      </c>
    </row>
    <row r="19" spans="1:8" x14ac:dyDescent="0.35">
      <c r="A19" s="4" t="s">
        <v>70</v>
      </c>
      <c r="B19" s="8">
        <v>113.7</v>
      </c>
      <c r="C19" s="9">
        <v>0.98299999999999998</v>
      </c>
      <c r="D19" s="10">
        <f t="shared" si="0"/>
        <v>1.1176710000000001</v>
      </c>
      <c r="E19" s="11" t="s">
        <v>9</v>
      </c>
      <c r="F19" s="12" t="s">
        <v>71</v>
      </c>
      <c r="G19" s="12" t="s">
        <v>72</v>
      </c>
      <c r="H19" s="5" t="s">
        <v>73</v>
      </c>
    </row>
    <row r="20" spans="1:8" x14ac:dyDescent="0.35">
      <c r="A20" s="4" t="s">
        <v>74</v>
      </c>
      <c r="B20" s="8">
        <v>141.19999999999999</v>
      </c>
      <c r="C20" s="9">
        <v>0.98399999999999999</v>
      </c>
      <c r="D20" s="10">
        <f t="shared" si="0"/>
        <v>1.389408</v>
      </c>
      <c r="E20" s="11" t="s">
        <v>9</v>
      </c>
      <c r="F20" s="12" t="s">
        <v>75</v>
      </c>
      <c r="G20" s="12" t="s">
        <v>76</v>
      </c>
      <c r="H20" s="5" t="s">
        <v>77</v>
      </c>
    </row>
    <row r="21" spans="1:8" x14ac:dyDescent="0.35">
      <c r="A21" s="4" t="s">
        <v>78</v>
      </c>
      <c r="B21" s="8">
        <v>141.19999999999999</v>
      </c>
      <c r="C21" s="9">
        <v>0.98399999999999999</v>
      </c>
      <c r="D21" s="10">
        <f t="shared" si="0"/>
        <v>1.389408</v>
      </c>
      <c r="E21" s="11" t="s">
        <v>33</v>
      </c>
      <c r="F21" s="12" t="s">
        <v>75</v>
      </c>
      <c r="G21" s="12" t="s">
        <v>76</v>
      </c>
      <c r="H21" s="5" t="s">
        <v>79</v>
      </c>
    </row>
    <row r="23" spans="1:8" x14ac:dyDescent="0.35">
      <c r="A23" s="2" t="s">
        <v>80</v>
      </c>
    </row>
    <row r="24" spans="1:8" x14ac:dyDescent="0.35">
      <c r="A24" s="3" t="s">
        <v>81</v>
      </c>
    </row>
    <row r="25" spans="1:8" x14ac:dyDescent="0.35">
      <c r="A25" s="6" t="s">
        <v>96</v>
      </c>
    </row>
    <row r="26" spans="1:8" x14ac:dyDescent="0.35">
      <c r="A26" s="3"/>
    </row>
    <row r="27" spans="1:8" x14ac:dyDescent="0.35">
      <c r="A27" s="7" t="s">
        <v>98</v>
      </c>
    </row>
    <row r="28" spans="1:8" x14ac:dyDescent="0.35">
      <c r="A28" s="3" t="s">
        <v>82</v>
      </c>
    </row>
    <row r="29" spans="1:8" x14ac:dyDescent="0.35">
      <c r="A29" s="3" t="s">
        <v>83</v>
      </c>
    </row>
    <row r="30" spans="1:8" x14ac:dyDescent="0.35">
      <c r="A30" s="6" t="s">
        <v>97</v>
      </c>
    </row>
    <row r="32" spans="1:8" x14ac:dyDescent="0.35">
      <c r="A32" s="2" t="s">
        <v>84</v>
      </c>
    </row>
    <row r="33" spans="1:1" x14ac:dyDescent="0.35">
      <c r="A33" s="3" t="s">
        <v>85</v>
      </c>
    </row>
    <row r="34" spans="1:1" x14ac:dyDescent="0.35">
      <c r="A34" s="6" t="s">
        <v>99</v>
      </c>
    </row>
    <row r="35" spans="1:1" x14ac:dyDescent="0.35">
      <c r="A35" s="6" t="s">
        <v>100</v>
      </c>
    </row>
    <row r="36" spans="1:1" x14ac:dyDescent="0.35">
      <c r="A36" s="3" t="s">
        <v>86</v>
      </c>
    </row>
    <row r="38" spans="1:1" x14ac:dyDescent="0.35">
      <c r="A38" s="2" t="s">
        <v>92</v>
      </c>
    </row>
    <row r="39" spans="1:1" x14ac:dyDescent="0.35">
      <c r="A39" s="3" t="s">
        <v>93</v>
      </c>
    </row>
    <row r="40" spans="1:1" x14ac:dyDescent="0.35">
      <c r="A40" s="3" t="s">
        <v>87</v>
      </c>
    </row>
    <row r="41" spans="1:1" x14ac:dyDescent="0.35">
      <c r="A41" s="3" t="s">
        <v>88</v>
      </c>
    </row>
    <row r="42" spans="1:1" x14ac:dyDescent="0.35">
      <c r="A42" s="3"/>
    </row>
    <row r="43" spans="1:1" x14ac:dyDescent="0.35">
      <c r="A43" s="2" t="s">
        <v>89</v>
      </c>
    </row>
    <row r="44" spans="1:1" x14ac:dyDescent="0.35">
      <c r="A44" s="3" t="s">
        <v>90</v>
      </c>
    </row>
    <row r="45" spans="1:1" x14ac:dyDescent="0.35">
      <c r="A45" s="3" t="s">
        <v>91</v>
      </c>
    </row>
    <row r="46" spans="1:1" x14ac:dyDescent="0.35">
      <c r="A46" s="3" t="s">
        <v>95</v>
      </c>
    </row>
    <row r="47" spans="1:1" x14ac:dyDescent="0.35">
      <c r="A47" s="3" t="s">
        <v>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GIUSEPPE CURRIDORI</cp:lastModifiedBy>
  <cp:revision>0</cp:revision>
  <dcterms:created xsi:type="dcterms:W3CDTF">2026-08-03T18:13:16Z</dcterms:created>
  <dcterms:modified xsi:type="dcterms:W3CDTF">2026-08-03T19:19:56Z</dcterms:modified>
  <dc:language>en-US</dc:language>
</cp:coreProperties>
</file>